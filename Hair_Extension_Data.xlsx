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veenasok/Desktop/"/>
    </mc:Choice>
  </mc:AlternateContent>
  <xr:revisionPtr revIDLastSave="0" documentId="13_ncr:1_{F3680BD2-A0DC-8A42-8E53-54C6E6485705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" i="1"/>
  <c r="G3" i="1"/>
  <c r="G4" i="1"/>
  <c r="G5" i="1"/>
  <c r="G12" i="1"/>
  <c r="G13" i="1"/>
  <c r="G14" i="1"/>
  <c r="G15" i="1"/>
  <c r="G6" i="1"/>
  <c r="G7" i="1"/>
  <c r="G8" i="1"/>
  <c r="G9" i="1"/>
  <c r="G16" i="1"/>
  <c r="G17" i="1"/>
  <c r="G18" i="1"/>
  <c r="G19" i="1"/>
  <c r="G10" i="1"/>
  <c r="G11" i="1"/>
  <c r="G20" i="1"/>
  <c r="G21" i="1"/>
  <c r="G2" i="1"/>
</calcChain>
</file>

<file path=xl/sharedStrings.xml><?xml version="1.0" encoding="utf-8"?>
<sst xmlns="http://schemas.openxmlformats.org/spreadsheetml/2006/main" count="68" uniqueCount="23">
  <si>
    <t>S.No</t>
  </si>
  <si>
    <t>Product Name</t>
  </si>
  <si>
    <t>Color</t>
  </si>
  <si>
    <t>Length</t>
  </si>
  <si>
    <t>Quantity</t>
  </si>
  <si>
    <t>Weight Grams</t>
  </si>
  <si>
    <t>Total Weight</t>
  </si>
  <si>
    <t>Specifications</t>
  </si>
  <si>
    <t>Single Switch</t>
  </si>
  <si>
    <t>7 pc clip set</t>
  </si>
  <si>
    <t>8" width</t>
  </si>
  <si>
    <t>8"width back pieces- 80 grams and side clips 3" width- 20 gram each</t>
  </si>
  <si>
    <t>4 clip- 1 pc, 3 clip-2 pc, 2 clip-2 pc</t>
  </si>
  <si>
    <t>4 clip- 1 pc, 3 clip-2 pc, 2 clip-2 pc, 1 Clip-2 pc</t>
  </si>
  <si>
    <t>3 Pieces Invisible</t>
  </si>
  <si>
    <t>5 pc clip set</t>
  </si>
  <si>
    <t>6 pc clip set</t>
  </si>
  <si>
    <t>4 clip- 1 pc, 3 clip-1 pc, 2 clip-2 pc, 1 Clip-2 pc</t>
  </si>
  <si>
    <t>#1A</t>
  </si>
  <si>
    <t>#2R</t>
  </si>
  <si>
    <t>#2B</t>
  </si>
  <si>
    <t>#4</t>
  </si>
  <si>
    <t>#4/27 Piano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</si>
</sst>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tabSelected="1" workbookViewId="0">
      <selection activeCell="J38" sqref="J38"/>
    </sheetView>
  </sheetViews>
  <sheetFormatPr baseColWidth="10" defaultColWidth="8.83203125" defaultRowHeight="15" x14ac:dyDescent="0.2"/>
  <cols>
    <col min="2" max="2" width="19.6640625" bestFit="1" customWidth="1"/>
    <col min="3" max="3" width="12.83203125" bestFit="1" customWidth="1"/>
    <col min="4" max="4" width="8.83203125" style="4"/>
    <col min="5" max="5" width="11.33203125" style="4" bestFit="1" customWidth="1"/>
    <col min="6" max="6" width="17.5" bestFit="1" customWidth="1"/>
    <col min="7" max="7" width="16" bestFit="1" customWidth="1"/>
    <col min="8" max="8" width="77.6640625" bestFit="1" customWidth="1"/>
    <col min="10" max="10" width="36.33203125" bestFit="1" customWidth="1"/>
  </cols>
  <sheetData>
    <row r="1" spans="1:10" ht="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21" x14ac:dyDescent="0.25">
      <c r="A2" s="2">
        <v>1</v>
      </c>
      <c r="B2" s="2" t="s">
        <v>8</v>
      </c>
      <c r="C2" s="2" t="s">
        <v>18</v>
      </c>
      <c r="D2" s="3">
        <v>20</v>
      </c>
      <c r="E2" s="3">
        <v>3</v>
      </c>
      <c r="F2" s="2">
        <v>100</v>
      </c>
      <c r="G2" s="2">
        <f>F2*E2</f>
        <v>300</v>
      </c>
      <c r="H2" s="2" t="s">
        <v>10</v>
      </c>
      <c r="J2" t="str">
        <f>CONCATENATE(D2,"'' ",C2, " -  ", " x ",E2, " Weight", "  ", F2, " - ", H2)</f>
        <v>20'' #1A -   x 3 Weight  100 - 8" width</v>
      </c>
    </row>
    <row r="3" spans="1:10" ht="21" x14ac:dyDescent="0.25">
      <c r="A3" s="2">
        <v>2</v>
      </c>
      <c r="B3" s="2" t="s">
        <v>8</v>
      </c>
      <c r="C3" s="2" t="s">
        <v>19</v>
      </c>
      <c r="D3" s="3">
        <v>20</v>
      </c>
      <c r="E3" s="3">
        <v>2</v>
      </c>
      <c r="F3" s="2">
        <v>100</v>
      </c>
      <c r="G3" s="2">
        <f>F3*E3</f>
        <v>200</v>
      </c>
      <c r="H3" s="2" t="s">
        <v>10</v>
      </c>
      <c r="J3" t="str">
        <f t="shared" ref="J3:J21" si="0">CONCATENATE(D3,"'' ",C3, " -  ", " x ",E3, " Weight", "  ", F3, " - ", H3)</f>
        <v>20'' #2R -   x 2 Weight  100 - 8" width</v>
      </c>
    </row>
    <row r="4" spans="1:10" ht="21" x14ac:dyDescent="0.25">
      <c r="A4" s="2">
        <v>3</v>
      </c>
      <c r="B4" s="2" t="s">
        <v>8</v>
      </c>
      <c r="C4" s="2" t="s">
        <v>20</v>
      </c>
      <c r="D4" s="3">
        <v>20</v>
      </c>
      <c r="E4" s="3">
        <v>2</v>
      </c>
      <c r="F4" s="2">
        <v>100</v>
      </c>
      <c r="G4" s="2">
        <f>F4*E4</f>
        <v>200</v>
      </c>
      <c r="H4" s="2" t="s">
        <v>10</v>
      </c>
      <c r="J4" t="str">
        <f t="shared" si="0"/>
        <v>20'' #2B -   x 2 Weight  100 - 8" width</v>
      </c>
    </row>
    <row r="5" spans="1:10" ht="21" x14ac:dyDescent="0.25">
      <c r="A5" s="2">
        <v>4</v>
      </c>
      <c r="B5" s="2" t="s">
        <v>8</v>
      </c>
      <c r="C5" s="2" t="s">
        <v>21</v>
      </c>
      <c r="D5" s="3">
        <v>20</v>
      </c>
      <c r="E5" s="3">
        <v>2</v>
      </c>
      <c r="F5" s="2">
        <v>100</v>
      </c>
      <c r="G5" s="2">
        <f>F5*E5</f>
        <v>200</v>
      </c>
      <c r="H5" s="2" t="s">
        <v>10</v>
      </c>
      <c r="J5" t="str">
        <f t="shared" si="0"/>
        <v>20'' #4 -   x 2 Weight  100 - 8" width</v>
      </c>
    </row>
    <row r="6" spans="1:10" ht="21" x14ac:dyDescent="0.25">
      <c r="A6" s="2">
        <v>9</v>
      </c>
      <c r="B6" s="2" t="s">
        <v>14</v>
      </c>
      <c r="C6" s="2" t="s">
        <v>18</v>
      </c>
      <c r="D6" s="3">
        <v>20</v>
      </c>
      <c r="E6" s="3">
        <v>3</v>
      </c>
      <c r="F6" s="2">
        <v>120</v>
      </c>
      <c r="G6" s="2">
        <f>F6*E6</f>
        <v>360</v>
      </c>
      <c r="H6" s="2" t="s">
        <v>11</v>
      </c>
      <c r="J6" t="str">
        <f t="shared" si="0"/>
        <v>20'' #1A -   x 3 Weight  120 - 8"width back pieces- 80 grams and side clips 3" width- 20 gram each</v>
      </c>
    </row>
    <row r="7" spans="1:10" ht="21" x14ac:dyDescent="0.25">
      <c r="A7" s="2">
        <v>10</v>
      </c>
      <c r="B7" s="2" t="s">
        <v>14</v>
      </c>
      <c r="C7" s="2" t="s">
        <v>19</v>
      </c>
      <c r="D7" s="3">
        <v>20</v>
      </c>
      <c r="E7" s="3">
        <v>1</v>
      </c>
      <c r="F7" s="2">
        <v>120</v>
      </c>
      <c r="G7" s="2">
        <f>F7*E7</f>
        <v>120</v>
      </c>
      <c r="H7" s="2" t="s">
        <v>11</v>
      </c>
      <c r="J7" t="str">
        <f t="shared" si="0"/>
        <v>20'' #2R -   x 1 Weight  120 - 8"width back pieces- 80 grams and side clips 3" width- 20 gram each</v>
      </c>
    </row>
    <row r="8" spans="1:10" ht="21" x14ac:dyDescent="0.25">
      <c r="A8" s="2">
        <v>11</v>
      </c>
      <c r="B8" s="2" t="s">
        <v>14</v>
      </c>
      <c r="C8" s="2" t="s">
        <v>20</v>
      </c>
      <c r="D8" s="3">
        <v>20</v>
      </c>
      <c r="E8" s="3">
        <v>1</v>
      </c>
      <c r="F8" s="2">
        <v>120</v>
      </c>
      <c r="G8" s="2">
        <f>F8*E8</f>
        <v>120</v>
      </c>
      <c r="H8" s="2" t="s">
        <v>11</v>
      </c>
      <c r="J8" t="str">
        <f t="shared" si="0"/>
        <v>20'' #2B -   x 1 Weight  120 - 8"width back pieces- 80 grams and side clips 3" width- 20 gram each</v>
      </c>
    </row>
    <row r="9" spans="1:10" ht="21" x14ac:dyDescent="0.25">
      <c r="A9" s="2">
        <v>12</v>
      </c>
      <c r="B9" s="2" t="s">
        <v>14</v>
      </c>
      <c r="C9" s="2" t="s">
        <v>22</v>
      </c>
      <c r="D9" s="3">
        <v>20</v>
      </c>
      <c r="E9" s="3">
        <v>1</v>
      </c>
      <c r="F9" s="2">
        <v>120</v>
      </c>
      <c r="G9" s="2">
        <f>F9*E9</f>
        <v>120</v>
      </c>
      <c r="H9" s="2" t="s">
        <v>11</v>
      </c>
      <c r="J9" t="str">
        <f t="shared" si="0"/>
        <v>20'' #4/27 Piano -   x 1 Weight  120 - 8"width back pieces- 80 grams and side clips 3" width- 20 gram each</v>
      </c>
    </row>
    <row r="10" spans="1:10" ht="21" x14ac:dyDescent="0.25">
      <c r="A10" s="2">
        <v>17</v>
      </c>
      <c r="B10" s="2" t="s">
        <v>15</v>
      </c>
      <c r="C10" s="2" t="s">
        <v>18</v>
      </c>
      <c r="D10" s="3">
        <v>20</v>
      </c>
      <c r="E10" s="3">
        <v>2</v>
      </c>
      <c r="F10" s="2">
        <v>100</v>
      </c>
      <c r="G10" s="2">
        <f>F10*E10</f>
        <v>200</v>
      </c>
      <c r="H10" s="2" t="s">
        <v>12</v>
      </c>
      <c r="J10" t="str">
        <f t="shared" si="0"/>
        <v>20'' #1A -   x 2 Weight  100 - 4 clip- 1 pc, 3 clip-2 pc, 2 clip-2 pc</v>
      </c>
    </row>
    <row r="11" spans="1:10" ht="21" x14ac:dyDescent="0.25">
      <c r="A11" s="2">
        <v>18</v>
      </c>
      <c r="B11" s="2" t="s">
        <v>16</v>
      </c>
      <c r="C11" s="2" t="s">
        <v>19</v>
      </c>
      <c r="D11" s="3">
        <v>20</v>
      </c>
      <c r="E11" s="3">
        <v>2</v>
      </c>
      <c r="F11" s="2">
        <v>100</v>
      </c>
      <c r="G11" s="2">
        <f>F11*E11</f>
        <v>200</v>
      </c>
      <c r="H11" s="2" t="s">
        <v>17</v>
      </c>
      <c r="J11" t="str">
        <f t="shared" si="0"/>
        <v>20'' #2R -   x 2 Weight  100 - 4 clip- 1 pc, 3 clip-1 pc, 2 clip-2 pc, 1 Clip-2 pc</v>
      </c>
    </row>
    <row r="12" spans="1:10" ht="21" x14ac:dyDescent="0.25">
      <c r="A12" s="2">
        <v>5</v>
      </c>
      <c r="B12" s="2" t="s">
        <v>8</v>
      </c>
      <c r="C12" s="2" t="s">
        <v>18</v>
      </c>
      <c r="D12" s="3">
        <v>24</v>
      </c>
      <c r="E12" s="3">
        <v>3</v>
      </c>
      <c r="F12" s="2">
        <v>120</v>
      </c>
      <c r="G12" s="2">
        <f>F12*E12</f>
        <v>360</v>
      </c>
      <c r="H12" s="2" t="s">
        <v>10</v>
      </c>
      <c r="J12" t="str">
        <f t="shared" si="0"/>
        <v>24'' #1A -   x 3 Weight  120 - 8" width</v>
      </c>
    </row>
    <row r="13" spans="1:10" ht="21" x14ac:dyDescent="0.25">
      <c r="A13" s="2">
        <v>6</v>
      </c>
      <c r="B13" s="2" t="s">
        <v>8</v>
      </c>
      <c r="C13" s="2" t="s">
        <v>19</v>
      </c>
      <c r="D13" s="3">
        <v>24</v>
      </c>
      <c r="E13" s="3">
        <v>2</v>
      </c>
      <c r="F13" s="2">
        <v>120</v>
      </c>
      <c r="G13" s="2">
        <f>F13*E13</f>
        <v>240</v>
      </c>
      <c r="H13" s="2" t="s">
        <v>10</v>
      </c>
      <c r="J13" t="str">
        <f t="shared" si="0"/>
        <v>24'' #2R -   x 2 Weight  120 - 8" width</v>
      </c>
    </row>
    <row r="14" spans="1:10" ht="21" x14ac:dyDescent="0.25">
      <c r="A14" s="2">
        <v>7</v>
      </c>
      <c r="B14" s="2" t="s">
        <v>14</v>
      </c>
      <c r="C14" s="2" t="s">
        <v>20</v>
      </c>
      <c r="D14" s="3">
        <v>24</v>
      </c>
      <c r="E14" s="3">
        <v>2</v>
      </c>
      <c r="F14" s="2">
        <v>120</v>
      </c>
      <c r="G14" s="2">
        <f>F14*E14</f>
        <v>240</v>
      </c>
      <c r="H14" s="2" t="s">
        <v>11</v>
      </c>
      <c r="J14" t="str">
        <f t="shared" si="0"/>
        <v>24'' #2B -   x 2 Weight  120 - 8"width back pieces- 80 grams and side clips 3" width- 20 gram each</v>
      </c>
    </row>
    <row r="15" spans="1:10" ht="21" x14ac:dyDescent="0.25">
      <c r="A15" s="2">
        <v>8</v>
      </c>
      <c r="B15" s="2" t="s">
        <v>14</v>
      </c>
      <c r="C15" s="2" t="s">
        <v>21</v>
      </c>
      <c r="D15" s="3">
        <v>24</v>
      </c>
      <c r="E15" s="3">
        <v>2</v>
      </c>
      <c r="F15" s="2">
        <v>120</v>
      </c>
      <c r="G15" s="2">
        <f>F15*E15</f>
        <v>240</v>
      </c>
      <c r="H15" s="2" t="s">
        <v>11</v>
      </c>
      <c r="J15" t="str">
        <f t="shared" si="0"/>
        <v>24'' #4 -   x 2 Weight  120 - 8"width back pieces- 80 grams and side clips 3" width- 20 gram each</v>
      </c>
    </row>
    <row r="16" spans="1:10" ht="21" x14ac:dyDescent="0.25">
      <c r="A16" s="2">
        <v>13</v>
      </c>
      <c r="B16" s="2" t="s">
        <v>14</v>
      </c>
      <c r="C16" s="2" t="s">
        <v>18</v>
      </c>
      <c r="D16" s="3">
        <v>24</v>
      </c>
      <c r="E16" s="3">
        <v>2</v>
      </c>
      <c r="F16" s="2">
        <v>130</v>
      </c>
      <c r="G16" s="2">
        <f>F16*E16</f>
        <v>260</v>
      </c>
      <c r="H16" s="2" t="s">
        <v>11</v>
      </c>
      <c r="J16" t="str">
        <f t="shared" si="0"/>
        <v>24'' #1A -   x 2 Weight  130 - 8"width back pieces- 80 grams and side clips 3" width- 20 gram each</v>
      </c>
    </row>
    <row r="17" spans="1:10" ht="21" x14ac:dyDescent="0.25">
      <c r="A17" s="2">
        <v>14</v>
      </c>
      <c r="B17" s="2" t="s">
        <v>14</v>
      </c>
      <c r="C17" s="2" t="s">
        <v>19</v>
      </c>
      <c r="D17" s="3">
        <v>24</v>
      </c>
      <c r="E17" s="3">
        <v>1</v>
      </c>
      <c r="F17" s="2">
        <v>130</v>
      </c>
      <c r="G17" s="2">
        <f>F17*E17</f>
        <v>130</v>
      </c>
      <c r="H17" s="2" t="s">
        <v>11</v>
      </c>
      <c r="J17" t="str">
        <f t="shared" si="0"/>
        <v>24'' #2R -   x 1 Weight  130 - 8"width back pieces- 80 grams and side clips 3" width- 20 gram each</v>
      </c>
    </row>
    <row r="18" spans="1:10" ht="21" x14ac:dyDescent="0.25">
      <c r="A18" s="2">
        <v>15</v>
      </c>
      <c r="B18" s="2" t="s">
        <v>14</v>
      </c>
      <c r="C18" s="2" t="s">
        <v>20</v>
      </c>
      <c r="D18" s="3">
        <v>24</v>
      </c>
      <c r="E18" s="3">
        <v>1</v>
      </c>
      <c r="F18" s="2">
        <v>130</v>
      </c>
      <c r="G18" s="2">
        <f>F18*E18</f>
        <v>130</v>
      </c>
      <c r="H18" s="2" t="s">
        <v>11</v>
      </c>
      <c r="J18" t="str">
        <f t="shared" si="0"/>
        <v>24'' #2B -   x 1 Weight  130 - 8"width back pieces- 80 grams and side clips 3" width- 20 gram each</v>
      </c>
    </row>
    <row r="19" spans="1:10" ht="21" x14ac:dyDescent="0.25">
      <c r="A19" s="2">
        <v>16</v>
      </c>
      <c r="B19" s="2" t="s">
        <v>14</v>
      </c>
      <c r="C19" s="2" t="s">
        <v>22</v>
      </c>
      <c r="D19" s="3">
        <v>24</v>
      </c>
      <c r="E19" s="3">
        <v>1</v>
      </c>
      <c r="F19" s="2">
        <v>130</v>
      </c>
      <c r="G19" s="2">
        <f>F19*E19</f>
        <v>130</v>
      </c>
      <c r="H19" s="2" t="s">
        <v>11</v>
      </c>
      <c r="J19" t="str">
        <f t="shared" si="0"/>
        <v>24'' #4/27 Piano -   x 1 Weight  130 - 8"width back pieces- 80 grams and side clips 3" width- 20 gram each</v>
      </c>
    </row>
    <row r="20" spans="1:10" ht="21" x14ac:dyDescent="0.25">
      <c r="A20" s="2">
        <v>19</v>
      </c>
      <c r="B20" s="2" t="s">
        <v>9</v>
      </c>
      <c r="C20" s="2" t="s">
        <v>18</v>
      </c>
      <c r="D20" s="3">
        <v>24</v>
      </c>
      <c r="E20" s="3">
        <v>3</v>
      </c>
      <c r="F20" s="2">
        <v>120</v>
      </c>
      <c r="G20" s="2">
        <f>F20*E20</f>
        <v>360</v>
      </c>
      <c r="H20" s="2" t="s">
        <v>13</v>
      </c>
      <c r="J20" t="str">
        <f t="shared" si="0"/>
        <v>24'' #1A -   x 3 Weight  120 - 4 clip- 1 pc, 3 clip-2 pc, 2 clip-2 pc, 1 Clip-2 pc</v>
      </c>
    </row>
    <row r="21" spans="1:10" ht="21" x14ac:dyDescent="0.25">
      <c r="A21" s="2">
        <v>20</v>
      </c>
      <c r="B21" s="2" t="s">
        <v>9</v>
      </c>
      <c r="C21" s="2" t="s">
        <v>19</v>
      </c>
      <c r="D21" s="3">
        <v>24</v>
      </c>
      <c r="E21" s="3">
        <v>2</v>
      </c>
      <c r="F21" s="2">
        <v>120</v>
      </c>
      <c r="G21" s="2">
        <f>F21*E21</f>
        <v>240</v>
      </c>
      <c r="H21" s="2" t="s">
        <v>13</v>
      </c>
      <c r="J21" t="str">
        <f t="shared" si="0"/>
        <v>24'' #2R -   x 2 Weight  120 - 4 clip- 1 pc, 3 clip-2 pc, 2 clip-2 pc, 1 Clip-2 pc</v>
      </c>
    </row>
  </sheetData>
  <sortState xmlns:xlrd2="http://schemas.microsoft.com/office/spreadsheetml/2017/richdata2" ref="A2:H21">
    <sortCondition ref="D2:D21"/>
  </sortState>
  <pageMargins left="0.7" right="0.7" top="0.75" bottom="0.75" header="0.3" footer="0.3"/>
  <pageSetup paperSize="9" scale="4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Praveen Asok</cp:lastModifiedBy>
  <cp:lastPrinted>2025-09-26T03:50:21Z</cp:lastPrinted>
  <dcterms:created xsi:type="dcterms:W3CDTF">2025-09-26T03:21:07Z</dcterms:created>
  <dcterms:modified xsi:type="dcterms:W3CDTF">2025-09-26T03:57:26Z</dcterms:modified>
</cp:coreProperties>
</file>